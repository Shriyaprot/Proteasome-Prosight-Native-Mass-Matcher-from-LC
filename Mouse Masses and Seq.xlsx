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hriya.WISMAIN\Box\Shriya\experiments mass spectrometry data\20260608 Flag IP Liver lung heart and Kidney\"/>
    </mc:Choice>
  </mc:AlternateContent>
  <xr:revisionPtr revIDLastSave="0" documentId="13_ncr:1_{36D95B85-D024-4410-AAAE-6B829F6417CA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G30" i="1"/>
  <c r="K30" i="1" s="1"/>
  <c r="F30" i="1"/>
  <c r="J30" i="1" s="1"/>
  <c r="I29" i="1"/>
  <c r="G29" i="1"/>
  <c r="K29" i="1" s="1"/>
  <c r="F29" i="1"/>
  <c r="J29" i="1" s="1"/>
  <c r="I28" i="1"/>
  <c r="G28" i="1"/>
  <c r="K28" i="1" s="1"/>
  <c r="F28" i="1"/>
  <c r="J28" i="1" s="1"/>
  <c r="I24" i="1"/>
  <c r="G24" i="1"/>
  <c r="K24" i="1" s="1"/>
  <c r="F24" i="1"/>
  <c r="J24" i="1" s="1"/>
  <c r="I23" i="1"/>
  <c r="G23" i="1"/>
  <c r="K23" i="1" s="1"/>
  <c r="F23" i="1"/>
  <c r="H23" i="1" s="1"/>
  <c r="I22" i="1"/>
  <c r="G22" i="1"/>
  <c r="K22" i="1" s="1"/>
  <c r="F22" i="1"/>
  <c r="J22" i="1" s="1"/>
  <c r="I21" i="1"/>
  <c r="G21" i="1"/>
  <c r="K21" i="1" s="1"/>
  <c r="F21" i="1"/>
  <c r="J21" i="1" s="1"/>
  <c r="I20" i="1"/>
  <c r="G20" i="1"/>
  <c r="K20" i="1" s="1"/>
  <c r="F20" i="1"/>
  <c r="H20" i="1" s="1"/>
  <c r="I19" i="1"/>
  <c r="G19" i="1"/>
  <c r="K19" i="1" s="1"/>
  <c r="F19" i="1"/>
  <c r="J19" i="1" s="1"/>
  <c r="I18" i="1"/>
  <c r="G18" i="1"/>
  <c r="K18" i="1" s="1"/>
  <c r="F18" i="1"/>
  <c r="J18" i="1" s="1"/>
  <c r="D17" i="1"/>
  <c r="I17" i="1" s="1"/>
  <c r="I16" i="1"/>
  <c r="G16" i="1"/>
  <c r="K16" i="1" s="1"/>
  <c r="F16" i="1"/>
  <c r="H16" i="1" s="1"/>
  <c r="L16" i="1" s="1"/>
  <c r="I15" i="1"/>
  <c r="G15" i="1"/>
  <c r="K15" i="1" s="1"/>
  <c r="F15" i="1"/>
  <c r="J15" i="1" s="1"/>
  <c r="I14" i="1"/>
  <c r="G14" i="1"/>
  <c r="K14" i="1" s="1"/>
  <c r="F14" i="1"/>
  <c r="H14" i="1" s="1"/>
  <c r="L14" i="1" s="1"/>
  <c r="I13" i="1"/>
  <c r="G13" i="1"/>
  <c r="K13" i="1" s="1"/>
  <c r="F13" i="1"/>
  <c r="J13" i="1" s="1"/>
  <c r="I12" i="1"/>
  <c r="G12" i="1"/>
  <c r="K12" i="1" s="1"/>
  <c r="F12" i="1"/>
  <c r="J12" i="1" s="1"/>
  <c r="I11" i="1"/>
  <c r="G11" i="1"/>
  <c r="K11" i="1" s="1"/>
  <c r="F11" i="1"/>
  <c r="H11" i="1" s="1"/>
  <c r="L11" i="1" s="1"/>
  <c r="I10" i="1"/>
  <c r="G10" i="1"/>
  <c r="K10" i="1" s="1"/>
  <c r="F10" i="1"/>
  <c r="J10" i="1" s="1"/>
  <c r="I9" i="1"/>
  <c r="G9" i="1"/>
  <c r="K9" i="1" s="1"/>
  <c r="F9" i="1"/>
  <c r="J9" i="1" s="1"/>
  <c r="I8" i="1"/>
  <c r="G8" i="1"/>
  <c r="K8" i="1" s="1"/>
  <c r="F8" i="1"/>
  <c r="H8" i="1" s="1"/>
  <c r="I7" i="1"/>
  <c r="G7" i="1"/>
  <c r="K7" i="1" s="1"/>
  <c r="F7" i="1"/>
  <c r="J7" i="1" s="1"/>
  <c r="I6" i="1"/>
  <c r="G6" i="1"/>
  <c r="K6" i="1" s="1"/>
  <c r="F6" i="1"/>
  <c r="J6" i="1" s="1"/>
  <c r="I5" i="1"/>
  <c r="G5" i="1"/>
  <c r="F5" i="1"/>
  <c r="J5" i="1" s="1"/>
  <c r="H12" i="1" l="1"/>
  <c r="L12" i="1" s="1"/>
  <c r="J23" i="1"/>
  <c r="H29" i="1"/>
  <c r="L29" i="1" s="1"/>
  <c r="J14" i="1"/>
  <c r="H21" i="1"/>
  <c r="L21" i="1" s="1"/>
  <c r="H18" i="1"/>
  <c r="L18" i="1" s="1"/>
  <c r="H7" i="1"/>
  <c r="L7" i="1" s="1"/>
  <c r="H9" i="1"/>
  <c r="L9" i="1" s="1"/>
  <c r="H32" i="1"/>
  <c r="J11" i="1"/>
  <c r="F17" i="1"/>
  <c r="H17" i="1" s="1"/>
  <c r="L17" i="1" s="1"/>
  <c r="J20" i="1"/>
  <c r="K5" i="1"/>
  <c r="H15" i="1"/>
  <c r="L15" i="1" s="1"/>
  <c r="G17" i="1"/>
  <c r="K17" i="1" s="1"/>
  <c r="H24" i="1"/>
  <c r="L24" i="1" s="1"/>
  <c r="H10" i="1"/>
  <c r="L10" i="1" s="1"/>
  <c r="H19" i="1"/>
  <c r="L19" i="1" s="1"/>
  <c r="H38" i="1"/>
  <c r="H37" i="1"/>
  <c r="L20" i="1"/>
  <c r="L23" i="1"/>
  <c r="H33" i="1"/>
  <c r="H36" i="1"/>
  <c r="L8" i="1"/>
  <c r="H6" i="1"/>
  <c r="L6" i="1" s="1"/>
  <c r="J8" i="1"/>
  <c r="J16" i="1"/>
  <c r="H5" i="1"/>
  <c r="L5" i="1" s="1"/>
  <c r="H13" i="1"/>
  <c r="H22" i="1"/>
  <c r="L22" i="1" s="1"/>
  <c r="H30" i="1"/>
  <c r="L30" i="1" s="1"/>
  <c r="H28" i="1"/>
  <c r="L28" i="1" s="1"/>
  <c r="J17" i="1" l="1"/>
  <c r="L13" i="1"/>
  <c r="H35" i="1"/>
  <c r="H34" i="1"/>
</calcChain>
</file>

<file path=xl/sharedStrings.xml><?xml version="1.0" encoding="utf-8"?>
<sst xmlns="http://schemas.openxmlformats.org/spreadsheetml/2006/main" count="158" uniqueCount="157">
  <si>
    <t>Entry name</t>
  </si>
  <si>
    <t>MW</t>
  </si>
  <si>
    <t>Mature</t>
  </si>
  <si>
    <t>delta Met</t>
  </si>
  <si>
    <t>Acetyl</t>
  </si>
  <si>
    <t>delta Met + Acetyl</t>
  </si>
  <si>
    <t>Phos</t>
  </si>
  <si>
    <t>delta Met + Phos</t>
  </si>
  <si>
    <t>Acetyl + Phos</t>
  </si>
  <si>
    <t>delta Met + Acetyl + Phos</t>
  </si>
  <si>
    <t>Sequence</t>
  </si>
  <si>
    <t>Q9R1P4</t>
  </si>
  <si>
    <t>minus H ?</t>
  </si>
  <si>
    <t>A0A1B0GS70-1</t>
  </si>
  <si>
    <t>P49722-1</t>
  </si>
  <si>
    <t>MAERGYSFSLTTFSPSGKLVQIEYALAAVAGGAPSVGIKAANGVVLATEKKQKSILYDERSVHKVEPITKHIGLVYSGMGPDYRVLVHRARKLAQQYYLVYQEPIPTAQLVQRVASVMQEYTQSGGVRPFGVSLLICGWNEGRPYLFQSDPSGAYFAWKATAMGKNYVNGKTFLEKRYNEDLELEDAIHTAILTLKESFEGQMTEDNIEVGICNEAGFRRLTPTEVRDYLAAIA</t>
  </si>
  <si>
    <t>CAA49782.1</t>
  </si>
  <si>
    <t>E3K</t>
  </si>
  <si>
    <t>MAKRGYSFSLTTFSPSGKLVQIEYALAAVAGGAPSVGIKAANGVVLATEKKQKSILYDERSVHKVEPITKHIGLVYSGMGPDYRVLVHRARKLAQQYYLVYQEPIPTAQLVQRVASVMQEYTQSGGVRPFGVSLLICGWNEGRPYLFQSDPSGAYFAWKATAMGKNYVNGKTFLEKRYNEDLELEDAIHTAILTLKESFEGQMTEDNIEVGICNEAGFRRLTPTEVRDYLAAIA</t>
  </si>
  <si>
    <t>Q9CZ58</t>
  </si>
  <si>
    <t>MAERGYSFSLTTFSPSGKLVQIEYALAAVRGGAPSVGIKAANGVVLATEKKQKSILYDERSVHKVEPITKHIGLVYSGMGPDYRVLVHRARKLAQQYYLVYQEPIPTAQLVQRVASVMQEYTQSGGVRPFGVSLLICGWNEGRPYLFQSDPSGAYFAWKATAMGKNYVNGKTFLEKRYNEDLELEDAIHTAILTLKESFEGQMTEDNIEVGICNEAGFRRLTPTEVRDYLAAIA</t>
  </si>
  <si>
    <t>Q3UWT6</t>
  </si>
  <si>
    <t>MAERGYSFSLTTFSPSGKLVQIEYALAAVAGGAPSVGIKAANGVVLATEKKQKSILYDERSVHKVEPITKHIGLVYSGMGPDYRVLVHRARKLAQQYYLVYQEPIPTAQLVQRVASVMQEYTQSGGVRPFGVSLLICGWNEGRPYLFQSDPSGAYFAWKATAMGKNYVNGKTFLEKRYNEDLELEDAIHTAILTLKESFEGQMTEDNIEVGICNEAGFRRLTPTEVRDYLAPIGVMKMCSHTRLFHV</t>
  </si>
  <si>
    <t>O70435</t>
  </si>
  <si>
    <t>MSSIGTGYDLSASTFSPDGRVFQVEYAMKAVENSSTAIGIRCKDGVVFGVEKLVLSKLYEEGSNKRLFNVDRHVGMAVAGLLADARSLADIAREEASNFRSNFGYNIPLKHLADRVAMYVHAYTLYSAVRPFGCSFMLGSYSANDGAQLYMIDPSGVSYGYWGCAIGKARQAAKTEIEKLQMKEMTCRDVVKEVAKIIYIVHDEVKDKAFELELSWVGELTKGRHEIVPKDIREEAEKYAKESLKEEDESDDDNM</t>
  </si>
  <si>
    <t>Q9R1P0</t>
  </si>
  <si>
    <t>MSRRYDSRTTIFSPEGRLYQVEYAMEAIGHAGTCLGILANDGVLLAAERRNIHKLLDEVFFSEKIYKLNEDMACSVAGITSDANVLTNELRLIAQRYLLQYQEPIPCEQLVTALCDIKQAYTQFGGKRPFGVSLLYIGWDKHYGFQLYQSDPSGNYGGWKATCIGNNSAAAVSMLKQDYKEGEMTLKSALALAVKVLNKTMDVSKLSAEKVEIATLTRESGKTVIRVLKQKEVEQLIKKHEEEEAKAEREKKEKEQREKDK</t>
  </si>
  <si>
    <t>E9PW69</t>
  </si>
  <si>
    <t>MSRRYDSRTTIFSPEGRLYQVEYAMEAIGHAGTCLGILANDGVLLAAERRNIHKLLDEVFFSEKIYKLNEDMACSVAGITSDANVLTNELRLIAQRYLLQYQEPIPCEQLVTALCDIKQAYTQFGGKRPFGVSLLYIGWDKHYGFQLYQSDPSGNYGGWKATCIGNNSAAAVSMLKQDYKEGEMTLKSALALAVKVLNKTMDVSKLSAEK</t>
  </si>
  <si>
    <t>Q3UCF0</t>
  </si>
  <si>
    <t>MSRRYDSRTTIFSPEGRLYQVEYAMEAIGHAGTCLGILANDGVLLAAERRNIHKLLDEVFFSEKIYKLNEDLACSVAGITSDANVLTNELRLIAQRYLLQYQEPIPCEQLVTALCDIKQAYTQFGGKRPFGVSLLYIGWDKHYGFQLYQSDPSGNYGGWKATCIGNNSAAAVSMLKQDYKEGEMTLKSALALAVKVLNKTMDVSKLSAEKVEIATLTRESGKTVIRVLKQKEVEQLIKKHEEEEAKAEREKKEKEQREKDK</t>
  </si>
  <si>
    <t>Q3TL95</t>
  </si>
  <si>
    <t>MSRRYDSRTTIFSPEGRLYQVEYAMEAIGHAGTCLGILANDGVLLAAERRNIHKLLDEVFFSEKIYKLNEDMACSVAGITSDANVLTNELRLIAQRYLLQYQEPIPCEQSVTALCDIKQAYTQFGGKRPFGVSLLYIGWDKHYGFQLYQSDPSGNYGGWKATCIGNNSAAAVSMLKQDYKEGEMTLKSALALAVKVLNKTMDVSKLSAEKVEIATLTRESGKTVIRVLKQKEVEQLIKKHEEEEAKAER</t>
  </si>
  <si>
    <t>delta Cterm Lysine</t>
  </si>
  <si>
    <t>MSRRYDSRTTIFSPEGRLYQVEYAMEAIGHAGTCLGILANDGVLLAAERRNIHKLLDEVFFSEKIYKLNEDMACSVAGITSDANVLTNELRLIAQRYLLQYQEPIPCEQLVTALCDIKQAYTQFGGKRPFGVSLLYIGWDKHYGFQLYQSDPSGNYGGWKATCIGNNSAAAVSMLKQDYKEGEMTLKSALALAVKVLNKTMDVSKLSAEKVEIATLTRESGKTVIRVLKQKEVEQLIKKHEEEEAKAEREKKEKEQREKD</t>
  </si>
  <si>
    <t>Q9Z2U1</t>
  </si>
  <si>
    <t>MFLTRSEYDRGVNTFSPEGRLFQVEYAIEAIKLGSTAIGIQTSEGVCLAVEKRITSPLMEPSSIEKIVEIDAHIGCAMSGLIADAKTLIDKARVETQNHWFTYNETMTVESVTQAVSNLALQFGEEDADPGAMSRPFGVALLFGGVDEKGPQLFHMDPSGTFVQCDARAIGSASEGAQSSLQEVYHKSMTLKEAIKSSLIILKQVMEEKLNATNIELATVQPGQNFHMFTKEELEEVIKDI</t>
  </si>
  <si>
    <t>Q3TUX3</t>
  </si>
  <si>
    <t>MFLTRSEYDRGVNTFSPEGRLFQVEYAIEAIKLGSTAIGIQTSEGVCLAVEKRITSPLMEPSSIEKIVEIDAHIGCAMSGLIADAKTLIDKARVETQNHWFTYNETMTVESVTQGVSNLALQFGEEDADPGAMSRPFGVALLFGGVDEKGPQLFHMDPSGTFVQCDARAIGSASEGAQSSLQEVYHKSMTLKEAIKSSLIILKQVMEEKLNATNIELATVQPGQNFHMFTKEELEEVIKDI</t>
  </si>
  <si>
    <t>Q9QUM9</t>
  </si>
  <si>
    <t>MSRGSSAGFDRHITIFSPEGRLYQVEYAFKAINQGGLTSVAVRGKDCAVIVTQKKVPDKLLDSSTVTHLFKITESIGCVMTGMTADSRSQVQRARYEAANWKYKYGYEIPVDMLCKRIADISQVYTQNAEMRPLGCCMILIGIDEEQGPQVYKCDPAGYYCGFKATAAGVKQTESTSFLEKKVKKKFDWTFEQTVETAITCLSTVLSIDFKPSEIEVGVVTVENPKFRILTEAEIDAHLVALAERD</t>
  </si>
  <si>
    <t>E0CXB1</t>
  </si>
  <si>
    <t>MASLRKKYAFKAINQGGLTSVAVRGKDCAVIVTQKKVPDKLLDSSTVTHLFKITESIGCVMTGMTADSRSQVQRARYEAANWKYKYGYEIPVDMLCKRIADISQVYTQNAEMRPLGCCMILIGIDEEQGPQVYKCDPAGYYCGFKATAAGVKQTESTSFLEKKVKKKFDWTFEQTVETAITCLSTVLSIDFKPSEIEVGVVTVENPKFRILTEAEIDAHLVALAERD</t>
  </si>
  <si>
    <t>minus D?</t>
  </si>
  <si>
    <t>MASLRKKYAFKAINQGGLTSVAVRGKDCAVIVTQKKVPDKLLDSSTVTHLFKITESIGCVMTGMTADSRSQVQRARYEAANWKYKYGYEIPVDMLCKRIADISQVYTQNAEMRPLGCCMILIGIDEEQGPQVYKCDPAGYYCGFKATAAGVKQTESTSFLEKKVKKKFDWTFEQTVETAITCLSTVLSIDFKPSEIEVGVVTVENPKFRILTEAEIDAHLVALAER</t>
  </si>
  <si>
    <t>Q9Z2U0</t>
  </si>
  <si>
    <t>MSYDRAITVFSPDGHLFQVEYAQEAVKKGSTAVGVRGKDIVVLGVEKKSVAKLQDERTVRKICALDDNVCMAFAGLTADARIVINRARVECQSHRLTVEDPVTVEYITRYIASLKQRYTQSNGRRPFGISALIVGFDFDGTPRLYQTDPSGTYHAWKANAIGRGAKSVREFLEKNYTDDAIETDDLTIKLVIKALLEVVQSGGKNIELAVMRRDQPLKILNPEEIEKYVAEIEKEKEENEKKKQKKAS</t>
  </si>
  <si>
    <t>A0A338P7D7</t>
  </si>
  <si>
    <t>MSYDRAITVFSPDGHLFQVEYAQEAVKKGSTAVGVRGKDIVVLGVEKKSVAKLQDERTVRKICALDDNVCMAFAGLTADARIVINRARVECQSHRLTVEDPVTVEYITRYIASLKQRYTQSNGRRPFGISALIVGFDFDGTPRLYQTDPSGTYHAWKANAIGRGAKSVREFLEKNYTDDAIETDDLTIKLVIKALLEVVQSGGKNIELAVMRRDQPLKLTGLK</t>
  </si>
  <si>
    <t>O09061</t>
  </si>
  <si>
    <t>propep 1-27</t>
  </si>
  <si>
    <r>
      <rPr>
        <sz val="11"/>
        <color theme="1"/>
        <rFont val="Calibri"/>
        <family val="2"/>
        <scheme val="minor"/>
      </rPr>
      <t>MLSTAAYRDVERELGMGPHGSAGPVQLRFSPYAFNGGTVLAIAGEDFSIVASDTRLSEGFSIHTRDSPKCYKLTDKTVIGCSGFHGDCLTLTKIIEARLKMYKHSNNKAMTTGAIAAMLSTILYSRRFFPYYVYNIIGGLDEEGKGAVYSFDPVGSYQRDSFKAGGSASAMLQPLLDNQVGFKNMQNVEHVPLTLDRAMRLVKDVFISAAERDVYTGDALRICIVTKEGIREETVPLRKD</t>
    </r>
  </si>
  <si>
    <t>RFSPYAFNGGTVLAIAGEDFSIVASDTRLSEGFSIHTRDSPKCYKLTDKTVIGCSGFHGDCLTLTKIIEARLKMYKHSNNKAMTTGAIAAMLSTILYSRRFFPYYVYNIIGGLDEEGKGAVYSFDPVGSYQRDSFKAGGSASAMLQPLLDNQVGFKNMQNVEHVPLTLDRAMRLVKDVFISAAERDVYTGDALRICIVTKEGIREETVPLRKD</t>
  </si>
  <si>
    <t>Q9R1P3</t>
  </si>
  <si>
    <t>MEYLIGIQGPDYVLVASDRVAASNIVQMKDDHDKMFKMSEKILLLCVGEAGDTVQFAEYIQKNVQLYKMRNGYELSPTAAANFTRRNLADCLRSRTPYHVNLLLAGYDEHEGPALYYMDYLAALAKAPFAAHGYGAFLTLSILDRYYTPTISRERAVELLRKCLEELQKRFILNLPTFSVRVIDKDGIHNLENIAFPKRDSGSGSDYKDDDDK</t>
  </si>
  <si>
    <t>Q8BJX0</t>
  </si>
  <si>
    <t>MEYLIGIQGPDYVLVASDRVAASNIVQMKDDHDKMFKMSEKILLLCVGEAGDTVQFAEYIQKNVQLYKMRNGYELSPTAAANFTRRNLADCLRSRTPYHVNLLLAGYDEHEGPALYYMDYLAALAKAPFAAHGYGAFLTLSILDRYYTPTISRERAVELLRKCLEELQKRFILNLPTFSVRVIDKDGIPNLENIAFPKRDS</t>
  </si>
  <si>
    <t>Q9R1P1</t>
  </si>
  <si>
    <t>MSIMSYNGGAVMAMKGKNCVAIAADRRFGIQAQMVTTDFQKIFPMGDRLYIGLAGLATDVQTVAQRLKFRLNLYELKEGRQIKPYTLMSMVANLLYEKRFGPYYTEPVIAGLDPKTFKPFICSLDLIGCPMVTDDFVVSGTCSEQMYGMCESLWEPNMDPEHLFETISQAMLNAVDRDAVSGMGVIVHVIEKDKITTRTLKARMD</t>
  </si>
  <si>
    <t>prop 1-45</t>
  </si>
  <si>
    <r>
      <rPr>
        <sz val="11"/>
        <color theme="1"/>
        <rFont val="Calibri"/>
        <family val="2"/>
        <scheme val="minor"/>
      </rPr>
      <t>MEAFWESRAGHWAGGPAPGQFYRIPATPSGLMDPASAPCEGPITRTQNPMVTGTSVLGVKFDGGVVIAADMLGSYGSLARFRNISRIMRVNDSTMLGASGDYADFQYLKQVLGQMVIDEELLGDGHSYSPRAIHSWLTRAMYSRRSKMNPLWNTMVIGGYADGESFLGYVDMLGVAYEAPSLATGYGAYLAQPLLREVLEKQPVLSQTEARELVERCMRVLYYRDARSYNRFQIATVTEKGVEIEGPLSAQTNWDIAHMISGFE</t>
    </r>
  </si>
  <si>
    <t>1+5</t>
  </si>
  <si>
    <t>TQNPMVTGTSVLGVKFDGGVVIAADMLGSYGSLARFRNISRIMRVNDSTMLGASGDYADFQYLKQVLGQMVIDEELLGDGHSYSPRAIHSWLTRAMYSRRSKMNPLWNTMVIGGYADGESFLGYVDMLGVAYEAPSLATGYGAYLAQPLLREVLEKQPVLSQTEARELVERCMRVLYYRDARSYNRFQIATVTEKGVEIEGPLSAQTNWDIAHMISGFE</t>
  </si>
  <si>
    <t>O55234</t>
  </si>
  <si>
    <t>prop 1-59</t>
  </si>
  <si>
    <t>5+7</t>
  </si>
  <si>
    <r>
      <rPr>
        <sz val="11"/>
        <color theme="1"/>
        <rFont val="Calibri"/>
        <family val="2"/>
        <scheme val="minor"/>
      </rPr>
      <t>MALASVLQRPMPVNQHGFFGLGGGADLLDLGPGSPGDGLSLAAPSWGVPEEPRIEMLHGTTTLAFKFLHGVIVAADSRATAGAYIASQTVKKVIEINPYLLGTMAGGAADCSFWERLLARQCRIYELRNKERISVAAASKLLANMVYQYKGMGLSMGTMICGWDKRGPGLYYVDSEGNRISGTAFSVGSGSVYAYGVMDRGYSYDLKVEEAYDLARRAIYQATYRDAYSGGAVNLYHVREDGWIRVSSDNVADLHDKYSSVSVP</t>
    </r>
  </si>
  <si>
    <t>7+4</t>
  </si>
  <si>
    <t>TTTLAFKFLHGVIVAADSRATAGAYIASQTVKKVIEINPYLLGTMAGGAADCSFWERLLARQCRIYELRNKERISVAAASKLLANMVYQYKGMGLSMGTMICGWDKRGPGLYYVDSEGNRISGTAFSVGSGSVYAYGVMDRGYSYDLKVEEAYDLARRAIYQATYRDAYSGGAVNLYHVREDGWIRVSSDNVADLHDKYSSVSVP</t>
  </si>
  <si>
    <t>BAB26942</t>
  </si>
  <si>
    <t>D110N</t>
  </si>
  <si>
    <t>4+2</t>
  </si>
  <si>
    <r>
      <t>MALASVLQRPMPVNQHGFFGLGGGADLLDLGPGSPGDGLSLAAPSWGVPEEPRIEMLHG</t>
    </r>
    <r>
      <rPr>
        <sz val="11"/>
        <color theme="1"/>
        <rFont val="Calibri"/>
        <family val="2"/>
        <scheme val="minor"/>
      </rPr>
      <t>TTTLAFKFLHGVIVAADSRATAGAYIASQTVKKVIEINPYLLGTMAGGAANCSFWERLLARQCRIYELRNKERISVAAASKLLANMVYQYKGMGLSMGTMICGWDKRGPGLYYVDSEGNRISGTAFSVGSGSVYAYGVMDRGYSYDLKVEEAYDLARRAIYQATYRDAYSGGAVNLYHVREDGWIRVSSDNVADLHDKYSSVSVP</t>
    </r>
  </si>
  <si>
    <t>2+6</t>
  </si>
  <si>
    <t>TTTLAFKFLHGVIVAADSRATAGAYIASQTVKKVIEINPYLLGTMAGGAANCSFWERLLARQCRIYELRNKERISVAAASKLLANMVYQYKGMGLSMGTMICGWDKRGPGLYYVDSEGNRISGTAFSVGSGSVYAYGVMDRGYSYDLKVEEAYDLARRAIYQATYRDAYSGGAVNLYHVREDGWIRVSSDNVADLHDKYSSVSVP</t>
  </si>
  <si>
    <t>AAH12246</t>
  </si>
  <si>
    <t>S248N</t>
  </si>
  <si>
    <t>6+3</t>
  </si>
  <si>
    <r>
      <t>MALASVLQRPMPVNQHGFFGLGGGADLLDLGPGSPGDGLSLAAPSWGVPEEPRIEMLHG</t>
    </r>
    <r>
      <rPr>
        <sz val="11"/>
        <color theme="1"/>
        <rFont val="Calibri"/>
        <family val="2"/>
        <scheme val="minor"/>
      </rPr>
      <t>TTTLAFKFLHGVIVAADSRATAGAYIASQTVKKVIEINPYLLGTMAGGAADCSFWERLLARQCRIYELRNKERISVAAASKLLANMVYQYKGMGLSMGTMICGWDKRGPGLYYVDSEGNRISGTAFSVGSGSVYAYGVMDRGYSYDLKVEEAYDLARRAIYQATYRDAYSGGAVNLYHVREDGWIRVSNDNVADLHDKYSSVSVP</t>
    </r>
  </si>
  <si>
    <t>3+1</t>
  </si>
  <si>
    <t>TTTLAFKFLHGVIVAADSRATAGAYIASQTVKKVIEINPYLLGTMAGGAADCSFWERLLARQCRIYELRNKERISVAAASKLLANMVYQYKGMGLSMGTMICGWDKRGPGLYYVDSEGNRISGTAFSVGSGSVYAYGVMDRGYSYDLKVEEAYDLARRAIYQATYRDAYSGGAVNLYHVREDGWIRVSNDNVADLHDKYSSVSVP</t>
  </si>
  <si>
    <t>Q60692</t>
  </si>
  <si>
    <t>prop 1-33</t>
  </si>
  <si>
    <r>
      <t>MAAALAVRRAGSAPAFGPEALTPDWENREVSTG</t>
    </r>
    <r>
      <rPr>
        <sz val="11"/>
        <color theme="1"/>
        <rFont val="Calibri"/>
        <family val="2"/>
        <scheme val="minor"/>
      </rPr>
      <t>TTIMAVQFNGGVVLGADSRTTTGSYIANRVTDKLTPIHDHIFCCRSGSAADTQAVADAVTYQLGFHSIELNEPPLVHTAASLFKEMCYRYREDLMAGIIIAGWDPQEGGQVYSVPMGGMMVRQSFAIGGSGSSYIYGYVDATYREGMTKDECLQFTANALALAMERDGSSGGVIRLAAIQESGVERQVLLGDQIPKFTIATLPPP</t>
    </r>
  </si>
  <si>
    <t>TTIMAVQFNGGVVLGADSRTTTGSYIANRVTDKLTPIHDHIFCCRSGSAADTQAVADAVTYQLGFHSIELNEPPLVHTAASLFKEMCYRYREDLMAGIIIAGWDPQEGGQVYSVPMGGMMVRQSFAIGGSGSSYIYGYVDATYREGMTKDECLQFTANALALAMERDGSSGGVIRLAAIQESGVERQVLLGDQIPKFTIATLPPP</t>
  </si>
  <si>
    <t>68-phos</t>
  </si>
  <si>
    <t>prop 1-43</t>
  </si>
  <si>
    <r>
      <t>MAAVSVFQPPVGGFSFDNCRRNAVLEADFAKKGFKLPKARKTG</t>
    </r>
    <r>
      <rPr>
        <sz val="11"/>
        <color theme="1"/>
        <rFont val="Calibri"/>
        <family val="2"/>
        <scheme val="minor"/>
      </rPr>
      <t>TTIAGVVYKDGIVLGADTRATEGMVVADKNCSKIHFISPNIYCCGAGTAADTDMTTQLISSNLELHSLTTGRLPRVVTANRMLKQMLFRYQGYIGAALVLGGVDVTGPHLYSIYPHGSTDKLPYVTMGSGSLAAMAVFEDKFRPDMEEEEAKKLVSEAIAAGIFNDLGSGSNIDLCVISKSKLDFLRPFSVPNKKGTRLGRYRCEKGTTAVLTEKVTPLEIEVLEETVQTMDTS</t>
    </r>
  </si>
  <si>
    <t>TTIAGVVYKDGIVLGADTRATEGMVVADKNCSKIHFISPNIYCCGAGTAADTDMTTQLISSNLELHSLTTGRLPRVVTANRMLKQMLFRYQGYIGAALVLGGVDVTGPHLYSIYPHGSTDKLPYVTMGSGSLAAMAVFEDKFRPDMEEEEAKKLVSEAIAAGIFNDLGSGSNIDLCVISKSKLDFLRPFSVPNKKGTRLGRYRCEKGTTAVLTEKVTPLEIEVLEETVQTMDTS</t>
  </si>
  <si>
    <t>L108F</t>
  </si>
  <si>
    <t>TTIAGVVYKDGIVLGADTRATEGMVVADKNCSKIHFISPNIYCCGAGTAADTDMTTQLISSNLEFHSLTTGRLPRVVTANRMLKQMLFRYQGYIGAALVLGGVDVTGPHLYSIYPHGSTDKLPYVTMGSGSLAAMAVFEDKFRPDMEEEEAKKLVSEAIAAGIFNDLGSGSNIDLCVISKSKLDFLRPFSVPNKKGTRLGRYRCEKGTTAVLTEKVTPLEIEVLEETVQTMDTS</t>
  </si>
  <si>
    <t>K237E</t>
  </si>
  <si>
    <t>TTIAGVVYKDGIVLGADTRATEGMVVADKNCSKIHFISPNIYCCGAGTAADTDMTTQLISSNLELHSLTTGRLPRVVTANRMLKQMLFRYQGYIGAALVLGGVDVTGPHLYSIYPHGSTDKLPYVTMGSGSLAAMAVFEDKFRPDMEEEEAKKLVSEAIAAGIFNDLGSGSNIDLCVISKSKLDFLRPFSVPNEKGTRLGRYRCEKGTTAVLTEKVTPLEIEVLEETVQTMDTS</t>
  </si>
  <si>
    <t>prop 1-72</t>
  </si>
  <si>
    <r>
      <t>MALLDLCGAARGQRPEWAALDAGSGGRSDPGHYSFSAQAPELALPRGMQPTAFLRSFGGDQERNVQIEMAHG</t>
    </r>
    <r>
      <rPr>
        <sz val="11"/>
        <color theme="1"/>
        <rFont val="Calibri"/>
        <family val="2"/>
        <scheme val="minor"/>
      </rPr>
      <t>TTTLAFKFQHGVIVAVDSRATAGSYISSLRMNKVIEINPYLLGTMSGCAADCQYWERLLAKECRLYYLRNGERISVSAASKLLSNMMLQYRGMGLSMGSMICGWDKKGPGLYYVDDNGTRLSGQMFSTGSGNTYAYGVMDSGYRQDLSPEEAYDLGRRAIAYATHRDNYSGGVVNMYHMKEDGWVKVESSDVSDLLYKYGEAAL</t>
    </r>
  </si>
  <si>
    <t>TTTLAFKFQHGVIVAVDSRATAGSYISSLRMNKVIEINPYLLGTMSGCAADCQYWERLLAKECRLYYLRNGERISVSAASKLLSNMMLQYRGMGLSMGSMICGWDKKGPGLYYVDDNGTRLSGQMFSTGSGNTYAYGVMDSGYRQDLSPEEAYDLGRRAIAYATHRDNYSGGVVNMYHMKEDGWVKVESSDVSDLLYKYGEAAL</t>
  </si>
  <si>
    <t>BAE26960</t>
  </si>
  <si>
    <t>V148M</t>
  </si>
  <si>
    <t>TTTLAFKFQHGVIVAVDSRATAGSYISSLRMNKVIEINPYLLGTMSGCAADCQYWERLLAKECRLYYLRNGERISMSAASKLLSNMMLQYRGMGLSMGSMICGWDKKGPGLYYVDDNGTRLSGQMFSTGSGNTYAYGVMDSGYRQDLSPEEAYDLGRRAIAYATHRDNYSGGVVNMYHMKEDGWVKVESSDVSDLLYKYGEAAL</t>
  </si>
  <si>
    <t>AAH51450</t>
  </si>
  <si>
    <t>S199P</t>
  </si>
  <si>
    <t>TTTLAFKFQHGVIVAVDSRATAGSYISSLRMNKVIEINPYLLGTMSGCAADCQYWERLLAKECRLYYLRNGERISVSAASKLLSNMMLQYRGMGLSMGSMICGWDKKGPGLYYVDDNGTRLSGQMFPTGSGNTYAYGVMDSGYRQDLSPEEAYDLGRRAIAYATHRDNYSGGVVNMYHMKEDGWVKVESSDVSDLLYKYGEAAL</t>
  </si>
  <si>
    <t>G272R</t>
  </si>
  <si>
    <t>TTTLAFKFQHGVIVAVDSRATAGSYISSLRMNKVIEINPYLLGTMSGCAADCQYWERLLAKECRLYYLRNGERISVSAASKLLSNMMLQYRGMGLSMGSMICGWDKKGPGLYYVDDNGTRLSGQMFSTGSGNTYAYGVMDSGYRQDLSPEEAYDLGRRAIAYATHRDNYSGGVVNMYHMKEDGWVKVESSDVSDLLYKYREAAL</t>
  </si>
  <si>
    <t>A275G</t>
  </si>
  <si>
    <t>TTTLAFKFQHGVIVAVDSRATAGSYISSLRMNKVIEINPYLLGTMSGCAADCQYWERLLAKECRLYYLRNGERISVSAASKLLSNMMLQYRGMGLSMGSMICGWDKKGPGLYYVDDNGTRLSGQMFSTGSGNTYAYGVMDSGYRQDLSPEEAYDLGRRAIAYATHRDNYSGGVVNMYHMKEDGWVKVESSDVSDLLYKYGEAGL</t>
  </si>
  <si>
    <t>G3UZW8</t>
  </si>
  <si>
    <r>
      <t>MALLDLCGAARGQRPEWAALDAGSGGRSDPGHYSFSAQAPELALPRGMQPTAFLRSFGGDQERNVQIEMAHG</t>
    </r>
    <r>
      <rPr>
        <sz val="11"/>
        <color theme="1"/>
        <rFont val="Calibri"/>
        <family val="2"/>
        <scheme val="minor"/>
      </rPr>
      <t>TTTLAFKFQHGVIVAVDSRATAGSYISSLRMNKVIEINPYLLGTMSGCAADCQYWERLLAKECRLYYLRNGERISVSAASKLLSNMMLQYRGMGLSMGSMICGWDKKGPGLYYVDDNGTRLSGQMFSTGSGNTYAYGVMDSGYRQDLSPEEAYDLGRRAIAYATHRDNYSGGVVNMYHMKEDGW</t>
    </r>
  </si>
  <si>
    <t>TTTLAFKFQHGVIVAVDSRATAGSYISSLRMNKVIEINPYLLGTMSGCAADCQYWERLLAKECRLYYLRNGERISVSAASKLLSNMMLQYRGMGLSMGSMICGWDKKGPGLYYVDDNGTRLSGQMFSTGSGNTYAYGVMDSGYRQDLSPEEAYDLGRRAIAYATHRDNYSGGVVNMYHMKEDGW</t>
  </si>
  <si>
    <t>P28076</t>
  </si>
  <si>
    <t>prop 1-20</t>
  </si>
  <si>
    <r>
      <t>MLRAGAPTAGSFRTEEVHTG</t>
    </r>
    <r>
      <rPr>
        <sz val="11"/>
        <color theme="1"/>
        <rFont val="Calibri"/>
        <family val="2"/>
        <scheme val="minor"/>
      </rPr>
      <t>TTIMAVEFDGGVVVGSDSRVSAGTAVVNRVFDKLSPLHQRIFCALSGSAADAQAIADMAAYQLELHGLELEEPPLVLAAANVVKNISYKYREDLLAHLIVAGWDQREGGQVYGTMGGMLIRQPFTIGGSGSSYIYGYVDAAYKPGMTPEECRRFTTNAITLAMNRDGSSGGVIYLVTITAAGVDHRVILGDELPKFYDE</t>
    </r>
  </si>
  <si>
    <t>TTIMAVEFDGGVVVGSDSRVSAGTAVVNRVFDKLSPLHQRIFCALSGSAADAQAIADMAAYQLELHGLELEEPPLVLAAANVVKNISYKYREDLLAHLIVAGWDQREGGQVYGTMGGMLIRQPFTIGGSGSSYIYGYVDAAYKPGMTPEECRRFTTNAITLAMNRDGSSGGVIYLVTITAAGVDHRVILGDELPKFYDE</t>
  </si>
  <si>
    <t>R60H</t>
  </si>
  <si>
    <t>TTIMAVEFDGGVVVGSDSRVSAGTAVVNRVFDKLSPLHQHIFCALSGSAADAQAIADMAAYQLELHGLELEEPPLVLAAANVVKNISYKYREDLLAHLIVAGWDQREGGQVYGTMGGMLIRQPFTIGGSGSSYIYGYVDAAYKPGMTPEECRRFTTNAITLAMNRDGSSGGVIYLVTITAAGVDHRVILGDELPKFYDE</t>
  </si>
  <si>
    <t>R126C</t>
  </si>
  <si>
    <t>TTIMAVEFDGGVVVGSDSRVSAGTAVVNRVFDKLSPLHQRIFCALSGSAADAQAIADMAAYQLELHGLELEEPPLVLAAANVVKNISYKYREDLLAHLIVAGWDQCEGGQVYGTMGGMLIRQPFTIGGSGSSYIYGYVDAAYKPGMTPEECRRFTTNAITLAMNRDGSSGGVIYLVTITAAGVDHRVILGDELPKFYDE</t>
  </si>
  <si>
    <t>N177D</t>
  </si>
  <si>
    <t>TTIMAVEFDGGVVVGSDSRVSAGTAVVNRVFDKLSPLHQRIFCALSGSAADAQAIADMAAYQLELHGLELEEPPLVLAAANVVKNISYKYREDLLAHLIVAGWDQREGGQVYGTMGGMLIRQPFTIGGSGSSYIYGYVDAAYKPGMTPEECRRFTTDAITLAMNRDGSSGGVIYLVTITAAGVDHRVILGDELPKFYDE</t>
  </si>
  <si>
    <t>A0A0R4J256</t>
  </si>
  <si>
    <r>
      <t>MLRAGAPTAGSFRTEEVHTG</t>
    </r>
    <r>
      <rPr>
        <sz val="11"/>
        <color theme="1"/>
        <rFont val="Calibri"/>
        <family val="2"/>
        <scheme val="minor"/>
      </rPr>
      <t>TTIMAVEFDGGVVVGSDSRVSAGTAVVNRVFDKLSPLHQHIFCALSGSAADAQAIADMAAYQLELHGLELEEPPLVLAAANVVKNISYKYREDLLAHLIVAGWDQCEGGQVYGTMGGMLIRQPFTIGGSGSSYIYGYVDAAYKPGMTPEECRRFTTDAITLAMNRDGSSGGVIYLVTITAAGVDHRVILGDELPKFYDE</t>
    </r>
  </si>
  <si>
    <t>TTIMAVEFDGGVVVGSDSRVSAGTAVVNRVFDKLSPLHQHIFCALSGSAADAQAIADMAAYQLELHGLELEEPPLVLAAANVVKNISYKYREDLLAHLIVAGWDQCEGGQVYGTMGGMLIRQPFTIGGSGSSYIYGYVDAAYKPGMTPEECRRFTTDAITLAMNRDGSSGGVIYLVTITAAGVDHRVILGDELPKFYDE</t>
  </si>
  <si>
    <t>O35955</t>
  </si>
  <si>
    <t>prop 1-39</t>
  </si>
  <si>
    <r>
      <t>MLKQAVEPTGGFSFENCQRNASLEHVLPGLRVPHARKTG</t>
    </r>
    <r>
      <rPr>
        <sz val="11"/>
        <color theme="1"/>
        <rFont val="Calibri"/>
        <family val="2"/>
        <scheme val="minor"/>
      </rPr>
      <t>TTIAGLVFRDGVILGADTRATNDSVVADKSCEKIHFIAPKIYCCGAGVAADTEMTTRMAASKMELHALSTGREPRVATVTRILRQTLFRYQGHVGASLVVGGVDLNGPQLYEVHPHGSYSRLPFTALGSGQGAAVALLEDRFQPNMTLEAAQELLVEAITAGILSDLGSGGNVDACVITAGGAKLQRALSTPTEPVQRAGRYRFAPGTTPVLTREVRPLTLELLEETVQAMEVE</t>
    </r>
  </si>
  <si>
    <t>TTIAGLVFRDGVILGADTRATNDSVVADKSCEKIHFIAPKIYCCGAGVAADTEMTTRMAASKMELHALSTGREPRVATVTRILRQTLFRYQGHVGASLVVGGVDLNGPQLYEVHPHGSYSRLPFTALGSGQGAAVALLEDRFQPNMTLEAAQELLVEAITAGILSDLGSGGNVDACVITAGGAKLQRALSTPTEPVQRAGRYRFAPGTTPVLTREVRPLTLELLEETVQAMEVE</t>
  </si>
  <si>
    <t>A189L</t>
  </si>
  <si>
    <t>TTIAGLVFRDGVILGADTRATNDSVVADKSCEKIHFIAPKIYCCGAGVAADTEMTTRMAASKMELHALSTGREPRVATVTRILRQTLFRYQGHVGASLVVGGVDLNGPQLYEVHPHGSYSRLPFTALGSGQGAAVALLEDRFQPNMTLELAQELLVEAITAGILSDLGSGGNVDACVITAGGAKLQRALSTPTEPVQRAGRYRFAPGTTPVLTREVRPLTLELLEETVQAMEVE</t>
  </si>
  <si>
    <t>Q3UNP9</t>
  </si>
  <si>
    <r>
      <t>MLKQAVEPTGGFSFENCQRNASLEHVLPGLRVPHARKTG</t>
    </r>
    <r>
      <rPr>
        <sz val="11"/>
        <color theme="1"/>
        <rFont val="Calibri"/>
        <family val="2"/>
        <scheme val="minor"/>
      </rPr>
      <t>TTIAGLVFRDGVILGADTRATNDSVVADKSCEKIHFIAPKIYCCGAGVAADTEMTTRMAASKMELHALSTGREPRVATVTRILRQTLFRYQGHVGASLVVGGVDLNGPQLYEVHPHGSYSRLPFTALGSGQGAAVALLEDRFQPNMTLEAAQELMVEAITAGILSDLGSGGNVDACVITAGGAKLQRALSTPTEPVQRAGRYRFAPGTTPVLTREVRPLTLELLEETVQAMEVE</t>
    </r>
  </si>
  <si>
    <t>TTIAGLVFRDGVILGADTRATNDSVVADKSCEKIHFIAPKIYCCGAGVAADTEMTTRMAASKMELHALSTGREPRVATVTRILRQTLFRYQGHVGASLVVGGVDLNGPQLYEVHPHGSYSRLPFTALGSGQGAAVALLEDRFQPNMTLEAAQELMVEAITAGILSDLGSGGNVDACVITAGGAKLQRALSTPTEPVQRAGRYRFAPGTTPVLTREVRPLTLELLEETVQAMEVE</t>
  </si>
  <si>
    <r>
      <t>MLKQAVEPRGGFSFENCQRNASLEHVLPGLRVPHARKTG</t>
    </r>
    <r>
      <rPr>
        <sz val="11"/>
        <color theme="1"/>
        <rFont val="Calibri"/>
        <family val="2"/>
        <scheme val="minor"/>
      </rPr>
      <t>TTIAGLVFRDGVILGADTRATNDSVVADKSCEKIHFIAPKIYCCGAGVAADTEMTTRMAASKMELHALSTGREPRVATVTRILRQTLFRYQGHVGASLVVGGVDLNGPQLYEVHPHGSYSRLPFTALGSGQGAAVALLEDRFQPNMTLEAAQELLVEAITAGILSDLGSGGNVDACVITAGGAKLQRALSTPTEPVQRAGRYRFAPGTTPVLTREVRPLTLELLEETVQAMEVE</t>
    </r>
  </si>
  <si>
    <t>PSMB11 (Thymus)</t>
  </si>
  <si>
    <t>Q8BG41</t>
  </si>
  <si>
    <t>prop 1-49</t>
  </si>
  <si>
    <r>
      <t>MALQDVCKWQTPDTPRPSIHLPQAGGWAVPRGCDPQTFLQIHGPRLAHG</t>
    </r>
    <r>
      <rPr>
        <sz val="11"/>
        <color theme="1"/>
        <rFont val="Calibri"/>
        <family val="2"/>
        <scheme val="minor"/>
      </rPr>
      <t>TTTLAFRFRHGVIAAADTRSSCGSYVACPASRKVIPVHQRLLGTTSGTSADCATWYRVLRRELRLRELREGQLPSVAGTAKLLAAMMSCYRGLDLCVATALCGWDHSGPALFYVYSDGTCLQGDIFSVGSGSPYAYGVLDRGYHYDMTIQEAYTLARCAVAHATHRDAYSGGSVDLFHVRESGWEYVSRSDACVLYRELQKARSLEQELEAKACGIYPEPATPQGARECKELFVEQEEVTPEDCAIIMKTETM</t>
    </r>
  </si>
  <si>
    <t>TTTLAFRFRHGVIAAADTRSSCGSYVACPASRKVIPVHQRLLGTTSGTSADCATWYRVLRRELRLRELREGQLPSVAGTAKLLAAMMSCYRGLDLCVATALCGWDHSGPALFYVYSDGTCLQGDIFSVGSGSPYAYGVLDRGYHYDMTIQEAYTLARCAVAHATHRDAYSGGSVDLFHVRESGWEYVSRSDACVLYRELQKARSLEQELEAKACGIYPEPATPQGARECKELFVEQEEVTPEDCAIIMKTETM</t>
  </si>
  <si>
    <t>PSMA3_Mouse</t>
  </si>
  <si>
    <t>PSMA4_Mouse</t>
  </si>
  <si>
    <t>PSMA1_Mouse</t>
  </si>
  <si>
    <t>MFRNQYDNDVTVWSPQGRIHQIEYAMEAVKQGSATVGLKSKTHAVLVALKRAQSELAAHQKKILHVDNHIGISIAGLTADARLLCNFMRQECLDSRFVFDRPLPVSRLVSLIGSKTQIPTQRYGRRPYGVGLLIAGYDDMGPHIFQTCPSMANYFDCRAMSIGARSQSARTYLERHMSEFMECNLDELVKHGLRALRETLPAEQDLTTKNVSIGIVGKDLEFTIYDDDDVSPFLDGLEERPQRKAQPSQAAEEPAEKADEPMEH</t>
  </si>
  <si>
    <t>MFRNQYDNDVTVWSPQGRIHQIEYAMEAVKQGSATVGLKSKTHAVLVALKRAQSELAAHQKKILHVDNHIGISIAGLTADARLLCNFMRQECLDSRFVFDRPLPVSRLVSLIGSKTQIPTQRYGRRPYGVGLLIAGYDDMGPHIFQTCPSMANYFDCRAMSIGARSQSARTYLERHMSEFMECNLDELVKHGLRALRETLPAEQDLTTKNVSIGIVGKDLEFTIYDDDDVSPFLDGLEERPQRKAQPSQAAEEPAEKADEPME</t>
  </si>
  <si>
    <t>MEAVKQGSATVGLKSKTHAVLVALKRAQSELAAHQKKILHVDNHIGISIAGLTADARLLCNFMRQECLDSRFVFDRPLPVSRLVSLIGSKTQIPTQRYGRRPYGVGLLIAGYDDMGPHIFQTCPSMANYFDCRAMSIGARSQSARTYLERHMSEFMECNLDELVKHGLRALRETLPAEQDLTTKNVSIGIVGKDLEFTIYDDDDVSPFLDGLEERPQRKAQPSQAAEEPAEKADEPMEH</t>
  </si>
  <si>
    <t>PSMA2_Mouse</t>
  </si>
  <si>
    <t>PSMA5_Mouse</t>
  </si>
  <si>
    <t>PSMA6_Mouse</t>
  </si>
  <si>
    <t>PSMA7_Mouse</t>
  </si>
  <si>
    <t>PSMB1_Mouse</t>
  </si>
  <si>
    <t>PSMB2-FLAG</t>
  </si>
  <si>
    <t>PSMB3_Mouse</t>
  </si>
  <si>
    <t>PSMB4_Mouse</t>
  </si>
  <si>
    <t>PSMB5_Mouse</t>
  </si>
  <si>
    <t>PSMB6_Mouse</t>
  </si>
  <si>
    <t>PSMB7_Mouse</t>
  </si>
  <si>
    <t>PSMB8_Mouse</t>
  </si>
  <si>
    <t>PSMB9_Mouse</t>
  </si>
  <si>
    <t>PSMB10_Mouse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</si>
</sst>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2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0" xfId="0" applyNumberFormat="1" applyAlignment="1">
      <alignment vertical="top"/>
    </xf>
    <xf numFmtId="2" fontId="0" fillId="0" borderId="0" xfId="0" applyNumberFormat="1"/>
    <xf numFmtId="2" fontId="0" fillId="0" borderId="0" xfId="0" applyNumberFormat="1" applyAlignment="1">
      <alignment vertical="top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top"/>
    </xf>
    <xf numFmtId="2" fontId="0" fillId="2" borderId="0" xfId="0" applyNumberFormat="1" applyFill="1" applyAlignment="1">
      <alignment horizontal="center" vertical="top"/>
    </xf>
    <xf numFmtId="0" fontId="1" fillId="0" borderId="0" xfId="0" applyFont="1" applyAlignment="1">
      <alignment vertical="center"/>
    </xf>
    <xf numFmtId="2" fontId="0" fillId="3" borderId="0" xfId="0" applyNumberFormat="1" applyFill="1" applyAlignment="1">
      <alignment horizontal="center" vertical="top"/>
    </xf>
    <xf numFmtId="2" fontId="0" fillId="4" borderId="0" xfId="0" applyNumberFormat="1" applyFill="1" applyAlignment="1">
      <alignment horizontal="center" vertical="top"/>
    </xf>
    <xf numFmtId="2" fontId="0" fillId="5" borderId="0" xfId="0" applyNumberFormat="1" applyFill="1" applyAlignment="1">
      <alignment horizontal="center" vertical="top"/>
    </xf>
    <xf numFmtId="2" fontId="0" fillId="6" borderId="0" xfId="0" applyNumberFormat="1" applyFill="1" applyAlignment="1">
      <alignment horizontal="center" vertical="top"/>
    </xf>
    <xf numFmtId="2" fontId="0" fillId="7" borderId="0" xfId="0" applyNumberFormat="1" applyFill="1" applyAlignment="1">
      <alignment horizontal="center" vertical="top"/>
    </xf>
    <xf numFmtId="2" fontId="0" fillId="8" borderId="0" xfId="0" applyNumberFormat="1" applyFill="1" applyAlignment="1">
      <alignment horizontal="center" vertical="top"/>
    </xf>
    <xf numFmtId="2" fontId="0" fillId="9" borderId="0" xfId="0" applyNumberFormat="1" applyFill="1" applyAlignment="1">
      <alignment horizontal="center" vertical="top"/>
    </xf>
    <xf numFmtId="2" fontId="0" fillId="10" borderId="0" xfId="0" applyNumberFormat="1" applyFill="1" applyAlignment="1">
      <alignment horizontal="center" vertical="top"/>
    </xf>
    <xf numFmtId="2" fontId="0" fillId="11" borderId="0" xfId="0" applyNumberFormat="1" applyFill="1" applyAlignment="1">
      <alignment horizontal="center" vertical="top"/>
    </xf>
    <xf numFmtId="16" fontId="0" fillId="0" borderId="0" xfId="0" applyNumberFormat="1"/>
    <xf numFmtId="0" fontId="0" fillId="12" borderId="0" xfId="0" applyFill="1" applyAlignment="1">
      <alignment vertical="center"/>
    </xf>
    <xf numFmtId="2" fontId="0" fillId="13" borderId="0" xfId="0" applyNumberFormat="1" applyFill="1" applyAlignment="1">
      <alignment horizontal="center" vertical="top"/>
    </xf>
    <xf numFmtId="2" fontId="0" fillId="14" borderId="0" xfId="0" applyNumberFormat="1" applyFill="1" applyAlignment="1">
      <alignment horizontal="center" vertical="top"/>
    </xf>
    <xf numFmtId="0" fontId="0" fillId="15" borderId="0" xfId="0" applyFill="1" applyAlignment="1">
      <alignment vertical="center"/>
    </xf>
    <xf numFmtId="0" fontId="0" fillId="16" borderId="0" xfId="0" applyFill="1" applyAlignment="1">
      <alignment vertical="center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0" fillId="19" borderId="0" xfId="0" applyFill="1" applyAlignment="1">
      <alignment vertical="center"/>
    </xf>
    <xf numFmtId="0" fontId="0" fillId="20" borderId="0" xfId="0" applyFill="1" applyAlignment="1">
      <alignment vertical="center"/>
    </xf>
    <xf numFmtId="0" fontId="0" fillId="21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69"/>
  <sheetViews>
    <sheetView tabSelected="1" topLeftCell="A40" workbookViewId="0">
      <selection activeCell="H54" sqref="A1:XFD1048576"/>
    </sheetView>
  </sheetViews>
  <sheetFormatPr defaultRowHeight="14.4"/>
  <cols>
    <col min="1" max="1" width="16.88671875" bestFit="1" customWidth="1"/>
    <col min="2" max="2" width="17.6640625" bestFit="1" customWidth="1"/>
    <col min="3" max="3" width="11.5546875" bestFit="1" customWidth="1"/>
    <col min="8" max="8" width="18.33203125" customWidth="1"/>
    <col min="9" max="9" width="9.6640625" customWidth="1"/>
    <col min="10" max="10" width="18.6640625" customWidth="1"/>
    <col min="11" max="11" width="15.33203125" customWidth="1"/>
    <col min="12" max="12" width="24.5546875" customWidth="1"/>
  </cols>
  <sheetData>
    <row r="3" spans="1:13">
      <c r="A3" s="1" t="s">
        <v>0</v>
      </c>
      <c r="B3" s="2"/>
      <c r="C3" s="2"/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</row>
    <row r="4" spans="1:13">
      <c r="A4" s="1"/>
      <c r="B4" s="2"/>
      <c r="C4" s="2"/>
      <c r="D4" s="1"/>
      <c r="E4" s="1"/>
      <c r="F4" s="1"/>
      <c r="G4" s="3"/>
      <c r="H4" s="3"/>
      <c r="I4" s="3"/>
      <c r="J4" s="3"/>
      <c r="K4" s="3"/>
      <c r="L4" s="3"/>
      <c r="M4" s="1"/>
    </row>
    <row r="5" spans="1:13">
      <c r="A5" s="1" t="s">
        <v>139</v>
      </c>
      <c r="B5" s="4" t="s">
        <v>11</v>
      </c>
      <c r="C5" s="4"/>
      <c r="D5" s="4">
        <v>29546.54</v>
      </c>
      <c r="E5" s="5"/>
      <c r="F5" s="6">
        <f>D5-131</f>
        <v>29415.54</v>
      </c>
      <c r="G5" s="7">
        <f>D5+42</f>
        <v>29588.54</v>
      </c>
      <c r="H5" s="6">
        <f>F5+42</f>
        <v>29457.54</v>
      </c>
      <c r="I5" s="6">
        <f>D5+80</f>
        <v>29626.54</v>
      </c>
      <c r="J5" s="6">
        <f>F5+80</f>
        <v>29495.54</v>
      </c>
      <c r="K5" s="6">
        <f>G5+80</f>
        <v>29668.54</v>
      </c>
      <c r="L5" s="6">
        <f>H5+80</f>
        <v>29537.54</v>
      </c>
      <c r="M5" s="4" t="s">
        <v>140</v>
      </c>
    </row>
    <row r="6" spans="1:13">
      <c r="C6" t="s">
        <v>12</v>
      </c>
      <c r="D6" s="8">
        <v>29409.4</v>
      </c>
      <c r="F6" s="6">
        <f t="shared" ref="F6:F23" si="0">D6-131</f>
        <v>29278.400000000001</v>
      </c>
      <c r="G6" s="6">
        <f t="shared" ref="G6:G23" si="1">D6+42</f>
        <v>29451.4</v>
      </c>
      <c r="H6" s="6">
        <f>F6+42</f>
        <v>29320.400000000001</v>
      </c>
      <c r="I6" s="6">
        <f t="shared" ref="I6:I23" si="2">D6+80</f>
        <v>29489.4</v>
      </c>
      <c r="J6" s="6">
        <f t="shared" ref="J6:L21" si="3">F6+80</f>
        <v>29358.400000000001</v>
      </c>
      <c r="K6" s="6">
        <f t="shared" si="3"/>
        <v>29531.4</v>
      </c>
      <c r="L6" s="6">
        <f t="shared" si="3"/>
        <v>29400.400000000001</v>
      </c>
      <c r="M6" s="4" t="s">
        <v>141</v>
      </c>
    </row>
    <row r="7" spans="1:13">
      <c r="A7" s="1"/>
      <c r="B7" t="s">
        <v>13</v>
      </c>
      <c r="D7" s="4">
        <v>26496.18</v>
      </c>
      <c r="E7" s="5"/>
      <c r="F7" s="6">
        <f t="shared" si="0"/>
        <v>26365.18</v>
      </c>
      <c r="G7" s="6">
        <f t="shared" si="1"/>
        <v>26538.18</v>
      </c>
      <c r="H7" s="6">
        <f t="shared" ref="H7:H23" si="4">F7+42</f>
        <v>26407.18</v>
      </c>
      <c r="I7" s="6">
        <f t="shared" si="2"/>
        <v>26576.18</v>
      </c>
      <c r="J7" s="6">
        <f t="shared" si="3"/>
        <v>26445.18</v>
      </c>
      <c r="K7" s="6">
        <f t="shared" si="3"/>
        <v>26618.18</v>
      </c>
      <c r="L7" s="6">
        <f t="shared" si="3"/>
        <v>26487.18</v>
      </c>
      <c r="M7" s="4" t="s">
        <v>142</v>
      </c>
    </row>
    <row r="8" spans="1:13">
      <c r="A8" t="s">
        <v>143</v>
      </c>
      <c r="B8" t="s">
        <v>14</v>
      </c>
      <c r="D8" s="4">
        <v>25926.6</v>
      </c>
      <c r="F8" s="6">
        <f t="shared" si="0"/>
        <v>25795.599999999999</v>
      </c>
      <c r="G8" s="6">
        <f t="shared" si="1"/>
        <v>25968.6</v>
      </c>
      <c r="H8" s="9">
        <f t="shared" si="4"/>
        <v>25837.599999999999</v>
      </c>
      <c r="I8" s="6">
        <f t="shared" si="2"/>
        <v>26006.6</v>
      </c>
      <c r="J8" s="6">
        <f t="shared" si="3"/>
        <v>25875.599999999999</v>
      </c>
      <c r="K8" s="6">
        <f t="shared" si="3"/>
        <v>26048.6</v>
      </c>
      <c r="L8" s="6">
        <f t="shared" si="3"/>
        <v>25917.599999999999</v>
      </c>
      <c r="M8" s="4" t="s">
        <v>15</v>
      </c>
    </row>
    <row r="9" spans="1:13">
      <c r="B9" t="s">
        <v>16</v>
      </c>
      <c r="C9" t="s">
        <v>17</v>
      </c>
      <c r="D9" s="4">
        <v>25925.66</v>
      </c>
      <c r="F9" s="6">
        <f t="shared" si="0"/>
        <v>25794.66</v>
      </c>
      <c r="G9" s="6">
        <f t="shared" si="1"/>
        <v>25967.66</v>
      </c>
      <c r="H9" s="6">
        <f t="shared" si="4"/>
        <v>25836.66</v>
      </c>
      <c r="I9" s="6">
        <f t="shared" si="2"/>
        <v>26005.66</v>
      </c>
      <c r="J9" s="6">
        <f t="shared" si="3"/>
        <v>25874.66</v>
      </c>
      <c r="K9" s="6">
        <f t="shared" si="3"/>
        <v>26047.66</v>
      </c>
      <c r="L9" s="6">
        <f t="shared" si="3"/>
        <v>25916.66</v>
      </c>
      <c r="M9" s="4" t="s">
        <v>18</v>
      </c>
    </row>
    <row r="10" spans="1:13">
      <c r="B10" s="4" t="s">
        <v>19</v>
      </c>
      <c r="D10" s="4">
        <v>26011.71</v>
      </c>
      <c r="F10" s="6">
        <f t="shared" si="0"/>
        <v>25880.71</v>
      </c>
      <c r="G10" s="6">
        <f t="shared" si="1"/>
        <v>26053.71</v>
      </c>
      <c r="H10" s="6">
        <f t="shared" si="4"/>
        <v>25922.71</v>
      </c>
      <c r="I10" s="6">
        <f t="shared" si="2"/>
        <v>26091.71</v>
      </c>
      <c r="J10" s="6">
        <f t="shared" si="3"/>
        <v>25960.71</v>
      </c>
      <c r="K10" s="6">
        <f t="shared" si="3"/>
        <v>26133.71</v>
      </c>
      <c r="L10" s="6">
        <f t="shared" si="3"/>
        <v>26002.71</v>
      </c>
      <c r="M10" s="4" t="s">
        <v>20</v>
      </c>
    </row>
    <row r="11" spans="1:13">
      <c r="B11" s="4" t="s">
        <v>21</v>
      </c>
      <c r="D11" s="4">
        <v>27509.56</v>
      </c>
      <c r="F11" s="6">
        <f t="shared" si="0"/>
        <v>27378.560000000001</v>
      </c>
      <c r="G11" s="6">
        <f t="shared" si="1"/>
        <v>27551.56</v>
      </c>
      <c r="H11" s="6">
        <f t="shared" si="4"/>
        <v>27420.560000000001</v>
      </c>
      <c r="I11" s="6">
        <f t="shared" si="2"/>
        <v>27589.56</v>
      </c>
      <c r="J11" s="6">
        <f t="shared" si="3"/>
        <v>27458.560000000001</v>
      </c>
      <c r="K11" s="6">
        <f t="shared" si="3"/>
        <v>27631.56</v>
      </c>
      <c r="L11" s="6">
        <f t="shared" si="3"/>
        <v>27500.560000000001</v>
      </c>
      <c r="M11" s="4" t="s">
        <v>22</v>
      </c>
    </row>
    <row r="12" spans="1:13">
      <c r="A12" t="s">
        <v>137</v>
      </c>
      <c r="B12" s="4" t="s">
        <v>23</v>
      </c>
      <c r="D12" s="4">
        <v>28405.22</v>
      </c>
      <c r="F12" s="6">
        <f t="shared" si="0"/>
        <v>28274.22</v>
      </c>
      <c r="G12" s="6">
        <f t="shared" si="1"/>
        <v>28447.22</v>
      </c>
      <c r="H12" s="10">
        <f t="shared" si="4"/>
        <v>28316.22</v>
      </c>
      <c r="I12" s="6">
        <f t="shared" si="2"/>
        <v>28485.22</v>
      </c>
      <c r="J12" s="6">
        <f t="shared" si="3"/>
        <v>28354.22</v>
      </c>
      <c r="K12" s="6">
        <f t="shared" si="3"/>
        <v>28527.22</v>
      </c>
      <c r="L12" s="11">
        <f t="shared" si="3"/>
        <v>28396.22</v>
      </c>
      <c r="M12" s="4" t="s">
        <v>24</v>
      </c>
    </row>
    <row r="13" spans="1:13">
      <c r="A13" t="s">
        <v>138</v>
      </c>
      <c r="B13" s="4" t="s">
        <v>25</v>
      </c>
      <c r="D13" s="4">
        <v>29470.77</v>
      </c>
      <c r="F13" s="6">
        <f t="shared" si="0"/>
        <v>29339.77</v>
      </c>
      <c r="G13" s="6">
        <f t="shared" si="1"/>
        <v>29512.77</v>
      </c>
      <c r="H13" s="12">
        <f t="shared" si="4"/>
        <v>29381.77</v>
      </c>
      <c r="I13" s="6">
        <f t="shared" si="2"/>
        <v>29550.77</v>
      </c>
      <c r="J13" s="6">
        <f t="shared" si="3"/>
        <v>29419.77</v>
      </c>
      <c r="K13" s="6">
        <f t="shared" si="3"/>
        <v>29592.77</v>
      </c>
      <c r="L13" s="6">
        <f t="shared" si="3"/>
        <v>29461.77</v>
      </c>
      <c r="M13" s="4" t="s">
        <v>26</v>
      </c>
    </row>
    <row r="14" spans="1:13">
      <c r="B14" s="4" t="s">
        <v>27</v>
      </c>
      <c r="D14" s="4">
        <v>23384.81</v>
      </c>
      <c r="F14" s="6">
        <f t="shared" si="0"/>
        <v>23253.81</v>
      </c>
      <c r="G14" s="6">
        <f t="shared" si="1"/>
        <v>23426.81</v>
      </c>
      <c r="H14" s="6">
        <f t="shared" si="4"/>
        <v>23295.81</v>
      </c>
      <c r="I14" s="6">
        <f t="shared" si="2"/>
        <v>23464.81</v>
      </c>
      <c r="J14" s="6">
        <f t="shared" si="3"/>
        <v>23333.81</v>
      </c>
      <c r="K14" s="6">
        <f t="shared" si="3"/>
        <v>23506.81</v>
      </c>
      <c r="L14" s="6">
        <f t="shared" si="3"/>
        <v>23375.81</v>
      </c>
      <c r="M14" t="s">
        <v>28</v>
      </c>
    </row>
    <row r="15" spans="1:13">
      <c r="B15" s="4" t="s">
        <v>29</v>
      </c>
      <c r="D15" s="4">
        <v>29452.74</v>
      </c>
      <c r="F15" s="6">
        <f t="shared" si="0"/>
        <v>29321.74</v>
      </c>
      <c r="G15" s="6">
        <f t="shared" si="1"/>
        <v>29494.74</v>
      </c>
      <c r="H15" s="6">
        <f t="shared" si="4"/>
        <v>29363.74</v>
      </c>
      <c r="I15" s="6">
        <f t="shared" si="2"/>
        <v>29532.74</v>
      </c>
      <c r="J15" s="6">
        <f t="shared" si="3"/>
        <v>29401.74</v>
      </c>
      <c r="K15" s="6">
        <f t="shared" si="3"/>
        <v>29574.74</v>
      </c>
      <c r="L15" s="6">
        <f t="shared" si="3"/>
        <v>29443.74</v>
      </c>
      <c r="M15" s="4" t="s">
        <v>30</v>
      </c>
    </row>
    <row r="16" spans="1:13">
      <c r="B16" s="4" t="s">
        <v>31</v>
      </c>
      <c r="D16" s="4">
        <v>27887.95</v>
      </c>
      <c r="F16" s="6">
        <f t="shared" si="0"/>
        <v>27756.95</v>
      </c>
      <c r="G16" s="6">
        <f t="shared" si="1"/>
        <v>27929.95</v>
      </c>
      <c r="H16" s="6">
        <f t="shared" si="4"/>
        <v>27798.95</v>
      </c>
      <c r="I16" s="6">
        <f t="shared" si="2"/>
        <v>27967.95</v>
      </c>
      <c r="J16" s="6">
        <f t="shared" si="3"/>
        <v>27836.95</v>
      </c>
      <c r="K16" s="6">
        <f t="shared" si="3"/>
        <v>28009.95</v>
      </c>
      <c r="L16" s="6">
        <f t="shared" si="3"/>
        <v>27878.95</v>
      </c>
      <c r="M16" s="4" t="s">
        <v>32</v>
      </c>
    </row>
    <row r="17" spans="1:13">
      <c r="B17" s="4" t="s">
        <v>33</v>
      </c>
      <c r="D17" s="2">
        <f>D13-131</f>
        <v>29339.77</v>
      </c>
      <c r="F17" s="6">
        <f t="shared" si="0"/>
        <v>29208.77</v>
      </c>
      <c r="G17" s="6">
        <f t="shared" si="1"/>
        <v>29381.77</v>
      </c>
      <c r="H17" s="13">
        <f t="shared" si="4"/>
        <v>29250.77</v>
      </c>
      <c r="I17" s="6">
        <f t="shared" si="2"/>
        <v>29419.77</v>
      </c>
      <c r="J17" s="6">
        <f t="shared" si="3"/>
        <v>29288.77</v>
      </c>
      <c r="K17" s="6">
        <f t="shared" si="3"/>
        <v>29461.77</v>
      </c>
      <c r="L17" s="6">
        <f t="shared" si="3"/>
        <v>29330.77</v>
      </c>
      <c r="M17" s="4" t="s">
        <v>34</v>
      </c>
    </row>
    <row r="18" spans="1:13">
      <c r="A18" t="s">
        <v>144</v>
      </c>
      <c r="B18" s="4" t="s">
        <v>35</v>
      </c>
      <c r="D18" s="4">
        <v>26411.03</v>
      </c>
      <c r="F18" s="6">
        <f t="shared" si="0"/>
        <v>26280.03</v>
      </c>
      <c r="G18" s="14">
        <f t="shared" si="1"/>
        <v>26453.03</v>
      </c>
      <c r="H18" s="6">
        <f t="shared" si="4"/>
        <v>26322.03</v>
      </c>
      <c r="I18" s="6">
        <f t="shared" si="2"/>
        <v>26491.03</v>
      </c>
      <c r="J18" s="6">
        <f t="shared" si="3"/>
        <v>26360.03</v>
      </c>
      <c r="K18" s="6">
        <f t="shared" si="3"/>
        <v>26533.03</v>
      </c>
      <c r="L18" s="6">
        <f t="shared" si="3"/>
        <v>26402.03</v>
      </c>
      <c r="M18" s="4" t="s">
        <v>36</v>
      </c>
    </row>
    <row r="19" spans="1:13">
      <c r="B19" s="4" t="s">
        <v>37</v>
      </c>
      <c r="D19" s="4">
        <v>26397.01</v>
      </c>
      <c r="F19" s="6">
        <f t="shared" si="0"/>
        <v>26266.01</v>
      </c>
      <c r="G19" s="6">
        <f t="shared" si="1"/>
        <v>26439.01</v>
      </c>
      <c r="H19" s="6">
        <f t="shared" si="4"/>
        <v>26308.01</v>
      </c>
      <c r="I19" s="6">
        <f t="shared" si="2"/>
        <v>26477.01</v>
      </c>
      <c r="J19" s="6">
        <f t="shared" si="3"/>
        <v>26346.01</v>
      </c>
      <c r="K19" s="6">
        <f t="shared" si="3"/>
        <v>26519.01</v>
      </c>
      <c r="L19" s="6">
        <f t="shared" si="3"/>
        <v>26388.01</v>
      </c>
      <c r="M19" s="4" t="s">
        <v>38</v>
      </c>
    </row>
    <row r="20" spans="1:13">
      <c r="A20" t="s">
        <v>145</v>
      </c>
      <c r="B20" s="4" t="s">
        <v>39</v>
      </c>
      <c r="D20" s="4">
        <v>27372.43</v>
      </c>
      <c r="F20" s="6">
        <f t="shared" si="0"/>
        <v>27241.43</v>
      </c>
      <c r="G20" s="6">
        <f t="shared" si="1"/>
        <v>27414.43</v>
      </c>
      <c r="H20" s="15">
        <f t="shared" si="4"/>
        <v>27283.43</v>
      </c>
      <c r="I20" s="6">
        <f t="shared" si="2"/>
        <v>27452.43</v>
      </c>
      <c r="J20" s="6">
        <f t="shared" si="3"/>
        <v>27321.43</v>
      </c>
      <c r="K20" s="6">
        <f t="shared" si="3"/>
        <v>27494.43</v>
      </c>
      <c r="L20" s="6">
        <f t="shared" si="3"/>
        <v>27363.43</v>
      </c>
      <c r="M20" s="4" t="s">
        <v>40</v>
      </c>
    </row>
    <row r="21" spans="1:13">
      <c r="B21" s="4" t="s">
        <v>41</v>
      </c>
      <c r="D21" s="4">
        <v>25264.21</v>
      </c>
      <c r="F21" s="6">
        <f t="shared" si="0"/>
        <v>25133.21</v>
      </c>
      <c r="G21" s="6">
        <f t="shared" si="1"/>
        <v>25306.21</v>
      </c>
      <c r="H21" s="6">
        <f t="shared" si="4"/>
        <v>25175.21</v>
      </c>
      <c r="I21" s="6">
        <f t="shared" si="2"/>
        <v>25344.21</v>
      </c>
      <c r="J21" s="6">
        <f t="shared" si="3"/>
        <v>25213.21</v>
      </c>
      <c r="K21" s="6">
        <f t="shared" si="3"/>
        <v>25386.21</v>
      </c>
      <c r="L21" s="6">
        <f t="shared" si="3"/>
        <v>25255.21</v>
      </c>
      <c r="M21" s="4" t="s">
        <v>42</v>
      </c>
    </row>
    <row r="22" spans="1:13">
      <c r="C22" t="s">
        <v>43</v>
      </c>
      <c r="D22" s="8">
        <v>25149.13</v>
      </c>
      <c r="F22" s="6">
        <f t="shared" si="0"/>
        <v>25018.13</v>
      </c>
      <c r="G22" s="6">
        <f t="shared" si="1"/>
        <v>25191.13</v>
      </c>
      <c r="H22" s="16">
        <f t="shared" si="4"/>
        <v>25060.13</v>
      </c>
      <c r="I22" s="6">
        <f t="shared" si="2"/>
        <v>25229.13</v>
      </c>
      <c r="J22" s="6">
        <f t="shared" ref="J22:L23" si="5">F22+80</f>
        <v>25098.13</v>
      </c>
      <c r="K22" s="6">
        <f t="shared" si="5"/>
        <v>25271.13</v>
      </c>
      <c r="L22" s="6">
        <f t="shared" si="5"/>
        <v>25140.13</v>
      </c>
      <c r="M22" s="4" t="s">
        <v>44</v>
      </c>
    </row>
    <row r="23" spans="1:13">
      <c r="A23" t="s">
        <v>146</v>
      </c>
      <c r="B23" s="4" t="s">
        <v>45</v>
      </c>
      <c r="D23" s="4">
        <v>27854.85</v>
      </c>
      <c r="F23" s="6">
        <f t="shared" si="0"/>
        <v>27723.85</v>
      </c>
      <c r="G23" s="6">
        <f t="shared" si="1"/>
        <v>27896.85</v>
      </c>
      <c r="H23" s="17">
        <f t="shared" si="4"/>
        <v>27765.85</v>
      </c>
      <c r="I23" s="6">
        <f t="shared" si="2"/>
        <v>27934.85</v>
      </c>
      <c r="J23" s="6">
        <f t="shared" si="5"/>
        <v>27803.85</v>
      </c>
      <c r="K23" s="6">
        <f t="shared" si="5"/>
        <v>27976.85</v>
      </c>
      <c r="L23" s="6">
        <f t="shared" si="5"/>
        <v>27845.85</v>
      </c>
      <c r="M23" t="s">
        <v>46</v>
      </c>
    </row>
    <row r="24" spans="1:13">
      <c r="B24" s="4" t="s">
        <v>47</v>
      </c>
      <c r="D24" s="4">
        <v>24782.43</v>
      </c>
      <c r="F24" s="6">
        <f>D24-131</f>
        <v>24651.43</v>
      </c>
      <c r="G24" s="6">
        <f>D24+42</f>
        <v>24824.43</v>
      </c>
      <c r="H24" s="6">
        <f>F24+42</f>
        <v>24693.43</v>
      </c>
      <c r="I24" s="6">
        <f>D24+80</f>
        <v>24862.43</v>
      </c>
      <c r="J24" s="6">
        <f>F24+80</f>
        <v>24731.43</v>
      </c>
      <c r="K24" s="6">
        <f>G24+80</f>
        <v>24904.43</v>
      </c>
      <c r="L24" s="6">
        <f>H24+80</f>
        <v>24773.43</v>
      </c>
      <c r="M24" s="4" t="s">
        <v>48</v>
      </c>
    </row>
    <row r="26" spans="1:13">
      <c r="A26" t="s">
        <v>147</v>
      </c>
      <c r="B26" s="4" t="s">
        <v>49</v>
      </c>
      <c r="C26" s="18" t="s">
        <v>50</v>
      </c>
      <c r="M26" s="4" t="s">
        <v>51</v>
      </c>
    </row>
    <row r="27" spans="1:13">
      <c r="E27" s="19">
        <v>23546.95</v>
      </c>
      <c r="M27" s="4" t="s">
        <v>52</v>
      </c>
    </row>
    <row r="28" spans="1:13">
      <c r="A28" t="s">
        <v>148</v>
      </c>
      <c r="B28" s="4" t="s">
        <v>53</v>
      </c>
      <c r="D28" s="8">
        <v>24189.599999999999</v>
      </c>
      <c r="F28" s="6">
        <f>D28-131</f>
        <v>24058.6</v>
      </c>
      <c r="G28" s="20">
        <f>D28+42</f>
        <v>24231.599999999999</v>
      </c>
      <c r="H28" s="6">
        <f>F28+42</f>
        <v>24100.6</v>
      </c>
      <c r="I28" s="6">
        <f t="shared" ref="I28" si="6">D28+80</f>
        <v>24269.599999999999</v>
      </c>
      <c r="J28" s="6">
        <f t="shared" ref="J28:L30" si="7">F28+80</f>
        <v>24138.6</v>
      </c>
      <c r="K28" s="6">
        <f t="shared" si="7"/>
        <v>24311.599999999999</v>
      </c>
      <c r="L28" s="6">
        <f t="shared" si="7"/>
        <v>24180.6</v>
      </c>
      <c r="M28" t="s">
        <v>54</v>
      </c>
    </row>
    <row r="29" spans="1:13">
      <c r="B29" s="4" t="s">
        <v>55</v>
      </c>
      <c r="D29" s="4">
        <v>22866.35</v>
      </c>
      <c r="F29" s="6">
        <f>D29-131</f>
        <v>22735.35</v>
      </c>
      <c r="G29" s="6">
        <f>D29+42</f>
        <v>22908.35</v>
      </c>
      <c r="H29" s="6">
        <f>F29+42</f>
        <v>22777.35</v>
      </c>
      <c r="I29" s="6">
        <f>D29+80</f>
        <v>22946.35</v>
      </c>
      <c r="J29" s="6">
        <f t="shared" si="7"/>
        <v>22815.35</v>
      </c>
      <c r="K29" s="6">
        <f t="shared" si="7"/>
        <v>22988.35</v>
      </c>
      <c r="L29" s="6">
        <f t="shared" si="7"/>
        <v>22857.35</v>
      </c>
      <c r="M29" s="4" t="s">
        <v>56</v>
      </c>
    </row>
    <row r="30" spans="1:13">
      <c r="A30" t="s">
        <v>149</v>
      </c>
      <c r="B30" s="4" t="s">
        <v>57</v>
      </c>
      <c r="D30" s="4">
        <v>22964.880000000001</v>
      </c>
      <c r="F30" s="6">
        <f>D30-131</f>
        <v>22833.88</v>
      </c>
      <c r="G30" s="6">
        <f>D30+42</f>
        <v>23006.880000000001</v>
      </c>
      <c r="H30" s="21">
        <f>F30+42</f>
        <v>22875.88</v>
      </c>
      <c r="I30" s="6">
        <f>D30+80</f>
        <v>23044.880000000001</v>
      </c>
      <c r="J30" s="6">
        <f t="shared" si="7"/>
        <v>22913.88</v>
      </c>
      <c r="K30" s="6">
        <f t="shared" si="7"/>
        <v>23086.880000000001</v>
      </c>
      <c r="L30" s="6">
        <f t="shared" si="7"/>
        <v>22955.88</v>
      </c>
      <c r="M30" s="4" t="s">
        <v>58</v>
      </c>
    </row>
    <row r="31" spans="1:13">
      <c r="A31" t="s">
        <v>150</v>
      </c>
      <c r="C31" t="s">
        <v>59</v>
      </c>
      <c r="M31" s="4" t="s">
        <v>60</v>
      </c>
    </row>
    <row r="32" spans="1:13">
      <c r="F32" s="22">
        <v>24361.75</v>
      </c>
      <c r="G32" t="s">
        <v>61</v>
      </c>
      <c r="H32" s="2">
        <f>G5+G18</f>
        <v>56041.57</v>
      </c>
      <c r="M32" s="4" t="s">
        <v>62</v>
      </c>
    </row>
    <row r="33" spans="1:13">
      <c r="A33" t="s">
        <v>151</v>
      </c>
      <c r="B33" s="4" t="s">
        <v>63</v>
      </c>
      <c r="C33" t="s">
        <v>64</v>
      </c>
      <c r="G33" t="s">
        <v>65</v>
      </c>
      <c r="H33" s="2">
        <f>G18+H23</f>
        <v>54218.879999999997</v>
      </c>
      <c r="M33" t="s">
        <v>66</v>
      </c>
    </row>
    <row r="34" spans="1:13">
      <c r="E34" s="23">
        <v>22528.55</v>
      </c>
      <c r="G34" t="s">
        <v>67</v>
      </c>
      <c r="H34" s="2">
        <f>H23+H13</f>
        <v>57147.619999999995</v>
      </c>
      <c r="M34" s="4" t="s">
        <v>68</v>
      </c>
    </row>
    <row r="35" spans="1:13">
      <c r="B35" t="s">
        <v>69</v>
      </c>
      <c r="C35" t="s">
        <v>70</v>
      </c>
      <c r="G35" t="s">
        <v>71</v>
      </c>
      <c r="H35" s="2">
        <f>H13+H8</f>
        <v>55219.369999999995</v>
      </c>
      <c r="M35" s="4" t="s">
        <v>72</v>
      </c>
    </row>
    <row r="36" spans="1:13">
      <c r="E36" s="4">
        <v>22527.56</v>
      </c>
      <c r="G36" t="s">
        <v>73</v>
      </c>
      <c r="H36" s="2">
        <f>H8+H20</f>
        <v>53121.03</v>
      </c>
      <c r="M36" s="4" t="s">
        <v>74</v>
      </c>
    </row>
    <row r="37" spans="1:13">
      <c r="B37" t="s">
        <v>75</v>
      </c>
      <c r="C37" t="s">
        <v>76</v>
      </c>
      <c r="G37" t="s">
        <v>77</v>
      </c>
      <c r="H37" s="2">
        <f>H20+L12</f>
        <v>55679.65</v>
      </c>
      <c r="M37" s="4" t="s">
        <v>78</v>
      </c>
    </row>
    <row r="38" spans="1:13">
      <c r="E38" s="4">
        <v>22555.57</v>
      </c>
      <c r="G38" t="s">
        <v>79</v>
      </c>
      <c r="H38" s="2">
        <f>L12+G5</f>
        <v>57984.76</v>
      </c>
      <c r="M38" s="4" t="s">
        <v>80</v>
      </c>
    </row>
    <row r="39" spans="1:13">
      <c r="A39" t="s">
        <v>152</v>
      </c>
      <c r="B39" s="4" t="s">
        <v>81</v>
      </c>
      <c r="C39" t="s">
        <v>82</v>
      </c>
      <c r="M39" s="4" t="s">
        <v>83</v>
      </c>
    </row>
    <row r="40" spans="1:13">
      <c r="E40" s="24">
        <v>21996.97</v>
      </c>
      <c r="M40" s="4" t="s">
        <v>84</v>
      </c>
    </row>
    <row r="41" spans="1:13">
      <c r="C41" t="s">
        <v>85</v>
      </c>
      <c r="M41" s="4"/>
    </row>
    <row r="42" spans="1:13">
      <c r="A42" t="s">
        <v>153</v>
      </c>
      <c r="C42" t="s">
        <v>86</v>
      </c>
      <c r="M42" s="4" t="s">
        <v>87</v>
      </c>
    </row>
    <row r="43" spans="1:13">
      <c r="E43" s="25">
        <v>25252.01</v>
      </c>
      <c r="M43" s="4" t="s">
        <v>88</v>
      </c>
    </row>
    <row r="44" spans="1:13">
      <c r="C44" t="s">
        <v>89</v>
      </c>
      <c r="E44" s="4">
        <v>25286.03</v>
      </c>
      <c r="M44" t="s">
        <v>90</v>
      </c>
    </row>
    <row r="45" spans="1:13">
      <c r="C45" t="s">
        <v>91</v>
      </c>
      <c r="E45" s="4">
        <v>25252.95</v>
      </c>
      <c r="M45" t="s">
        <v>92</v>
      </c>
    </row>
    <row r="46" spans="1:13">
      <c r="A46" t="s">
        <v>154</v>
      </c>
      <c r="C46" t="s">
        <v>93</v>
      </c>
      <c r="M46" s="4" t="s">
        <v>94</v>
      </c>
    </row>
    <row r="47" spans="1:13">
      <c r="E47" s="26">
        <v>22650.68</v>
      </c>
      <c r="M47" s="4" t="s">
        <v>95</v>
      </c>
    </row>
    <row r="48" spans="1:13">
      <c r="B48" t="s">
        <v>96</v>
      </c>
      <c r="C48" t="s">
        <v>97</v>
      </c>
      <c r="E48" s="4">
        <v>22682.74</v>
      </c>
      <c r="M48" s="4" t="s">
        <v>98</v>
      </c>
    </row>
    <row r="49" spans="1:13">
      <c r="B49" t="s">
        <v>99</v>
      </c>
      <c r="C49" t="s">
        <v>100</v>
      </c>
      <c r="E49" s="4">
        <v>22660.71</v>
      </c>
      <c r="M49" s="4" t="s">
        <v>101</v>
      </c>
    </row>
    <row r="50" spans="1:13">
      <c r="C50" t="s">
        <v>102</v>
      </c>
      <c r="E50" s="4">
        <v>22749.81</v>
      </c>
      <c r="M50" s="4" t="s">
        <v>103</v>
      </c>
    </row>
    <row r="51" spans="1:13">
      <c r="C51" t="s">
        <v>104</v>
      </c>
      <c r="E51" s="4">
        <v>22636.65</v>
      </c>
      <c r="M51" t="s">
        <v>105</v>
      </c>
    </row>
    <row r="52" spans="1:13">
      <c r="B52" s="4" t="s">
        <v>106</v>
      </c>
      <c r="M52" s="4" t="s">
        <v>107</v>
      </c>
    </row>
    <row r="53" spans="1:13">
      <c r="E53" s="4">
        <v>20482.25</v>
      </c>
      <c r="M53" s="4" t="s">
        <v>108</v>
      </c>
    </row>
    <row r="54" spans="1:13">
      <c r="A54" t="s">
        <v>155</v>
      </c>
      <c r="B54" s="4" t="s">
        <v>109</v>
      </c>
      <c r="C54" t="s">
        <v>110</v>
      </c>
      <c r="M54" s="4" t="s">
        <v>111</v>
      </c>
    </row>
    <row r="55" spans="1:13">
      <c r="E55" s="4">
        <v>21326.22</v>
      </c>
      <c r="M55" s="4" t="s">
        <v>112</v>
      </c>
    </row>
    <row r="56" spans="1:13">
      <c r="C56" t="s">
        <v>113</v>
      </c>
      <c r="E56" s="4">
        <v>21307.18</v>
      </c>
      <c r="M56" s="4" t="s">
        <v>114</v>
      </c>
    </row>
    <row r="57" spans="1:13">
      <c r="C57" t="s">
        <v>115</v>
      </c>
      <c r="E57" s="4">
        <v>21273.18</v>
      </c>
      <c r="M57" s="4" t="s">
        <v>116</v>
      </c>
    </row>
    <row r="58" spans="1:13">
      <c r="C58" t="s">
        <v>117</v>
      </c>
      <c r="E58" s="4">
        <v>21327.21</v>
      </c>
      <c r="M58" t="s">
        <v>118</v>
      </c>
    </row>
    <row r="59" spans="1:13">
      <c r="B59" s="4" t="s">
        <v>119</v>
      </c>
      <c r="M59" s="4" t="s">
        <v>120</v>
      </c>
    </row>
    <row r="60" spans="1:13">
      <c r="E60" s="27">
        <v>21255.11</v>
      </c>
      <c r="M60" s="4" t="s">
        <v>121</v>
      </c>
    </row>
    <row r="61" spans="1:13">
      <c r="A61" t="s">
        <v>156</v>
      </c>
      <c r="B61" s="4" t="s">
        <v>122</v>
      </c>
      <c r="C61" t="s">
        <v>123</v>
      </c>
      <c r="M61" s="4" t="s">
        <v>124</v>
      </c>
    </row>
    <row r="62" spans="1:13">
      <c r="E62" s="28">
        <v>24804.35</v>
      </c>
      <c r="M62" s="4" t="s">
        <v>125</v>
      </c>
    </row>
    <row r="63" spans="1:13">
      <c r="C63" t="s">
        <v>126</v>
      </c>
      <c r="E63" s="4">
        <v>24846.43</v>
      </c>
      <c r="M63" t="s">
        <v>127</v>
      </c>
    </row>
    <row r="64" spans="1:13">
      <c r="C64" s="4" t="s">
        <v>128</v>
      </c>
      <c r="M64" s="4" t="s">
        <v>129</v>
      </c>
    </row>
    <row r="65" spans="1:13">
      <c r="E65" s="4">
        <v>24822.38</v>
      </c>
      <c r="M65" s="4" t="s">
        <v>130</v>
      </c>
    </row>
    <row r="66" spans="1:13">
      <c r="M66" s="4" t="s">
        <v>131</v>
      </c>
    </row>
    <row r="67" spans="1:13">
      <c r="E67" s="4">
        <v>24804.35</v>
      </c>
      <c r="M67" s="4" t="s">
        <v>125</v>
      </c>
    </row>
    <row r="68" spans="1:13">
      <c r="A68" t="s">
        <v>132</v>
      </c>
      <c r="B68" t="s">
        <v>133</v>
      </c>
      <c r="C68" t="s">
        <v>134</v>
      </c>
      <c r="M68" s="4" t="s">
        <v>135</v>
      </c>
    </row>
    <row r="69" spans="1:13">
      <c r="E69" s="8">
        <v>27851.56</v>
      </c>
      <c r="M69" s="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Gili Ben Nissan</dc:creator>
  <cp:lastModifiedBy>Shriya Srivastava</cp:lastModifiedBy>
  <dcterms:created xsi:type="dcterms:W3CDTF">2024-02-01T14:36:31Z</dcterms:created>
  <dcterms:modified xsi:type="dcterms:W3CDTF">2026-09-23T09:17:05Z</dcterms:modified>
</cp:coreProperties>
</file>